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o de Trabalho" sheetId="1" r:id="rId5"/>
    <sheet state="visible" name="Resumo" sheetId="2" r:id="rId6"/>
    <sheet state="visible" name="Orientações" sheetId="3" r:id="rId7"/>
    <sheet state="visible" name="Edital Expo Una" sheetId="4" r:id="rId8"/>
  </sheets>
  <definedNames/>
  <calcPr/>
</workbook>
</file>

<file path=xl/sharedStrings.xml><?xml version="1.0" encoding="utf-8"?>
<sst xmlns="http://schemas.openxmlformats.org/spreadsheetml/2006/main" count="172" uniqueCount="127">
  <si>
    <t>Item</t>
  </si>
  <si>
    <t>Orientação</t>
  </si>
  <si>
    <t>Campos obrigatórios</t>
  </si>
  <si>
    <t>Nome da atividade, ordem, data de início, data de fim, percentual executado e responsáveis.</t>
  </si>
  <si>
    <t>Atualização</t>
  </si>
  <si>
    <t>Atualize o percentual executado em cada revisão.</t>
  </si>
  <si>
    <t>GitBook</t>
  </si>
  <si>
    <t>Registre evolução, decisões, testes e uso de IA.</t>
  </si>
  <si>
    <t>GitHub</t>
  </si>
  <si>
    <t>Associe desenvolvimento a issues e commits quando possível.</t>
  </si>
  <si>
    <t>MVP</t>
  </si>
  <si>
    <t>Priorize cadastro, visualização, edição, exclusão, status/filtros e lembretes.</t>
  </si>
  <si>
    <t>Dados de teste</t>
  </si>
  <si>
    <t>Utilize dados fictícios na demonstração.</t>
  </si>
  <si>
    <t>RESUMO DO PROJETO A3</t>
  </si>
  <si>
    <t>Projeto</t>
  </si>
  <si>
    <t>Agenda pessoal para controle de consultas</t>
  </si>
  <si>
    <t>Entrega 2</t>
  </si>
  <si>
    <t>Entrega 3</t>
  </si>
  <si>
    <t>Banca</t>
  </si>
  <si>
    <t>23/11 ou 30/11/2026</t>
  </si>
  <si>
    <t>Total de atividades</t>
  </si>
  <si>
    <t>Indicador</t>
  </si>
  <si>
    <t>Valor</t>
  </si>
  <si>
    <t>Atividades concluídas</t>
  </si>
  <si>
    <t>Atividades em andamento</t>
  </si>
  <si>
    <t>PLANO DE TRABALHO – PROJETO A3</t>
  </si>
  <si>
    <t>Sistema de Agenda Pessoal para Organização e Controle de Consultas</t>
  </si>
  <si>
    <t>Progresso médio</t>
  </si>
  <si>
    <t>Tarefa</t>
  </si>
  <si>
    <t>Ordem</t>
  </si>
  <si>
    <t xml:space="preserve">Aluno </t>
  </si>
  <si>
    <t>Atividade</t>
  </si>
  <si>
    <t>Data de início</t>
  </si>
  <si>
    <t>Descrição / Entregável</t>
  </si>
  <si>
    <t>Data de fim</t>
  </si>
  <si>
    <t>Leitura do Edital</t>
  </si>
  <si>
    <t>% executado</t>
  </si>
  <si>
    <t>Caio Eduardo Lourenço Batista</t>
  </si>
  <si>
    <t>Não Iniciado</t>
  </si>
  <si>
    <t>Responsável(is)</t>
  </si>
  <si>
    <t>Marco / Observação</t>
  </si>
  <si>
    <t>Definição do problema e da proposta</t>
  </si>
  <si>
    <t>Definir problema, justificativa, objetivo, área de aplicação e proposta do sistema.</t>
  </si>
  <si>
    <t>Daniel Andrade dos Reis</t>
  </si>
  <si>
    <t>Grupo</t>
  </si>
  <si>
    <t>Diogo César dos Santos Tavares</t>
  </si>
  <si>
    <t>Concluído</t>
  </si>
  <si>
    <t>Planejamento inicial</t>
  </si>
  <si>
    <t>Definição do público-alvo</t>
  </si>
  <si>
    <t>Identificar usuário principal, necessidades, dificuldades e acessibilidade.</t>
  </si>
  <si>
    <t>Gabriel Matheus Abreu de Souza</t>
  </si>
  <si>
    <t>Definição do escopo e MVP</t>
  </si>
  <si>
    <t>Definir funcionalidades que serão desenvolvidas e o que ficará fora da primeira versão.</t>
  </si>
  <si>
    <t>Gustavo Henrique da Costa Roma</t>
  </si>
  <si>
    <t>Base para requisitos</t>
  </si>
  <si>
    <t>Pablo Henrique Fernandes dos Santos</t>
  </si>
  <si>
    <t>Levantamento de requisitos</t>
  </si>
  <si>
    <t>Documentar requisitos funcionais e não funcionais.</t>
  </si>
  <si>
    <t>A definir</t>
  </si>
  <si>
    <t>Pesquisa e referências</t>
  </si>
  <si>
    <t>Pesquisar tecnologias, privacidade, LGPD e soluções relacionadas.</t>
  </si>
  <si>
    <t>Referências</t>
  </si>
  <si>
    <t>Escolha das tecnologias</t>
  </si>
  <si>
    <t>Definir prototipação, desenvolvimento, armazenamento, GitHub e IA.</t>
  </si>
  <si>
    <t>Justificar escolhas</t>
  </si>
  <si>
    <t>Estrutura inicial do GitBook</t>
  </si>
  <si>
    <t>Criar páginas obrigatórias, cronograma, requisitos e diário.</t>
  </si>
  <si>
    <t>Documentação evolutiva</t>
  </si>
  <si>
    <t>Revisão da proposta e Entrega 2</t>
  </si>
  <si>
    <t>Conferir proposta, pesquisa, escopo, requisitos e documentação inicial.</t>
  </si>
  <si>
    <t>ENTREGA 2 – RT02 (28/09)</t>
  </si>
  <si>
    <t>Modelagem das informações</t>
  </si>
  <si>
    <t>Definir dados das consultas: profissional, especialidade, data, horário, local, observações e status.</t>
  </si>
  <si>
    <t>Modelo de dados</t>
  </si>
  <si>
    <t>Fluxo de utilização</t>
  </si>
  <si>
    <t>Definir caminho do usuário no sistema.</t>
  </si>
  <si>
    <t>Fluxo do sistema</t>
  </si>
  <si>
    <t>Protótipo das telas</t>
  </si>
  <si>
    <t>Criar login, início, nova consulta, agenda/lista, detalhes e edição.</t>
  </si>
  <si>
    <t>Protótipo visual</t>
  </si>
  <si>
    <t>Configuração do GitHub</t>
  </si>
  <si>
    <t>Organizar repositório, README, issues e versionamento.</t>
  </si>
  <si>
    <t>Repositório</t>
  </si>
  <si>
    <t>Desenvolvimento da interface</t>
  </si>
  <si>
    <t>Implementar estrutura visual e navegação.</t>
  </si>
  <si>
    <t>Sistema em desenvolvimento</t>
  </si>
  <si>
    <t>Cadastro e armazenamento</t>
  </si>
  <si>
    <t>Implementar inclusão e armazenamento das consultas.</t>
  </si>
  <si>
    <t>Edição e exclusão</t>
  </si>
  <si>
    <t>Permitir alterar e excluir consultas.</t>
  </si>
  <si>
    <t>Agenda, filtros e status</t>
  </si>
  <si>
    <t>Organizar consultas por data e status.</t>
  </si>
  <si>
    <t>Automação / lembretes</t>
  </si>
  <si>
    <t>Implementar ou prototipar alertas de consultas próximas.</t>
  </si>
  <si>
    <t>IA e Automação</t>
  </si>
  <si>
    <t>Testes iniciais</t>
  </si>
  <si>
    <t>Executar testes das funcionalidades e registrar erros.</t>
  </si>
  <si>
    <t>Evidências</t>
  </si>
  <si>
    <t>Atualização da documentação</t>
  </si>
  <si>
    <t>Registrar evolução, prompts de IA, protótipos, testes e decisões.</t>
  </si>
  <si>
    <t>Revisão e Entrega 3</t>
  </si>
  <si>
    <t>Revisar sistema, documentação e entregáveis.</t>
  </si>
  <si>
    <t>ENTREGA 3 – RT03 (26/10)</t>
  </si>
  <si>
    <t>Correções pós-entrega</t>
  </si>
  <si>
    <t>Corrigir erros e melhorar funcionalidades.</t>
  </si>
  <si>
    <t>Correções</t>
  </si>
  <si>
    <t>Ética, privacidade, segurança e LGPD</t>
  </si>
  <si>
    <t>Documentar dados, minimização, acesso, proteção e riscos.</t>
  </si>
  <si>
    <t>Testes finais</t>
  </si>
  <si>
    <t>Executar casos de teste com dados fictícios.</t>
  </si>
  <si>
    <t>Relatório de testes</t>
  </si>
  <si>
    <t>Finalização do protótipo</t>
  </si>
  <si>
    <t>Corrigir bugs e garantir funcionamento do MVP.</t>
  </si>
  <si>
    <t>Versão final</t>
  </si>
  <si>
    <t>Finalização do GitBook</t>
  </si>
  <si>
    <t>Revisar documentação, IA, impactos, conclusão e referências.</t>
  </si>
  <si>
    <t>Documentação final</t>
  </si>
  <si>
    <t>Preparação da apresentação</t>
  </si>
  <si>
    <t>Criar apresentação e sequência da demonstração.</t>
  </si>
  <si>
    <t>Ensaio e validação final</t>
  </si>
  <si>
    <t>Ensaiar, testar o sistema e preparar respostas.</t>
  </si>
  <si>
    <t>Preparação final</t>
  </si>
  <si>
    <t>Banca do Projeto A3</t>
  </si>
  <si>
    <t>Apresentar o projeto e demonstrar o protótipo.</t>
  </si>
  <si>
    <t>Todos</t>
  </si>
  <si>
    <t>BANCAS – 23/11 e 30/11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</si>
</sst>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.0&quot;%&quot;"/>
    <numFmt numFmtId="166" formatCode="0&quot;%&quot;"/>
  </numFmts>
  <fonts count="6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  <font>
      <b/>
      <sz val="16.0"/>
      <color rgb="FFFFFFFF"/>
      <name val="Carlito"/>
    </font>
    <font>
      <b/>
      <sz val="11.0"/>
      <color theme="1"/>
      <name val="Carlito"/>
    </font>
    <font>
      <color theme="1"/>
      <name val="Carlito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3" fontId="3" numFmtId="0" xfId="0" applyAlignment="1" applyFill="1" applyFont="1">
      <alignment horizontal="center" vertical="center"/>
    </xf>
    <xf borderId="0" fillId="4" fontId="4" numFmtId="0" xfId="0" applyFill="1" applyFont="1"/>
    <xf borderId="0" fillId="0" fontId="5" numFmtId="0" xfId="0" applyFont="1"/>
    <xf borderId="0" fillId="0" fontId="2" numFmtId="164" xfId="0" applyFont="1" applyNumberFormat="1"/>
    <xf borderId="0" fillId="0" fontId="5" numFmtId="0" xfId="0" applyAlignment="1" applyFont="1">
      <alignment horizontal="right"/>
    </xf>
    <xf borderId="0" fillId="4" fontId="4" numFmtId="0" xfId="0" applyAlignment="1" applyFill="1" applyFont="1">
      <alignment horizontal="center" readingOrder="0" vertical="center"/>
    </xf>
    <xf borderId="0" fillId="4" fontId="4" numFmtId="0" xfId="0" applyAlignment="1" applyFill="1" applyFont="1">
      <alignment horizontal="center" vertical="center"/>
    </xf>
    <xf borderId="0" fillId="0" fontId="2" numFmtId="165" xfId="0" applyFont="1" applyNumberFormat="1"/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166" xfId="0" applyAlignment="1" applyFont="1" applyNumberFormat="1">
      <alignment shrinkToFit="0" vertical="center" wrapText="1"/>
    </xf>
    <xf borderId="0" fillId="0" fontId="2" numFmtId="164" xfId="0" applyAlignment="1" applyFont="1" applyNumberFormat="1">
      <alignment readingOrder="0"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2" numFmtId="9" xfId="0" applyAlignment="1" applyFont="1" applyNumberForma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2">
    <tableStyle count="4" pivot="0" name="Edital Expo U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lano de Trabalh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H32" displayName="Cronograma_" name="Cronograma_" id="1">
  <tableColumns count="8">
    <tableColumn name="Ordem" id="1"/>
    <tableColumn name="Atividade" id="2"/>
    <tableColumn name="Descrição / Entregável" id="3"/>
    <tableColumn name="Data de início" id="4"/>
    <tableColumn name="Data de fim" id="5"/>
    <tableColumn name="% executado" id="6"/>
    <tableColumn name="Responsável(is)" id="7"/>
    <tableColumn name="Marco / Observação" id="8"/>
  </tableColumns>
  <tableStyleInfo name="Plano de Trabalho-style" showColumnStripes="0" showFirstColumn="1" showLastColumn="1" showRowStripes="1"/>
</table>
</file>

<file path=xl/tables/table2.xml><?xml version="1.0" encoding="utf-8"?>
<table xmlns="http://schemas.openxmlformats.org/spreadsheetml/2006/main" ref="A4:D11" displayName="Edital_Expo_Una" name="Edital_Expo_Una" id="2">
  <tableColumns count="4">
    <tableColumn name="Tarefa" id="1"/>
    <tableColumn name="Aluno " id="2"/>
    <tableColumn name="Data de início" id="3"/>
    <tableColumn name="Data de fim" id="4"/>
  </tableColumns>
  <tableStyleInfo name="Edital Expo Un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28.0"/>
    <col customWidth="1" min="3" max="3" width="52.0"/>
    <col customWidth="1" min="4" max="5" width="14.0"/>
    <col customWidth="1" min="6" max="6" width="13.0"/>
    <col customWidth="1" min="7" max="7" width="20.0"/>
    <col customWidth="1" min="8" max="8" width="28.0"/>
    <col customWidth="1" min="9" max="26" width="8.63"/>
  </cols>
  <sheetData>
    <row r="1">
      <c r="A1" s="3" t="s">
        <v>26</v>
      </c>
    </row>
    <row r="2">
      <c r="A2" s="9" t="s">
        <v>27</v>
      </c>
    </row>
    <row r="4">
      <c r="A4" s="11" t="s">
        <v>30</v>
      </c>
      <c r="B4" s="11" t="s">
        <v>32</v>
      </c>
      <c r="C4" s="11" t="s">
        <v>34</v>
      </c>
      <c r="D4" s="11" t="s">
        <v>33</v>
      </c>
      <c r="E4" s="11" t="s">
        <v>35</v>
      </c>
      <c r="F4" s="11" t="s">
        <v>37</v>
      </c>
      <c r="G4" s="11" t="s">
        <v>40</v>
      </c>
      <c r="H4" s="11" t="s">
        <v>41</v>
      </c>
    </row>
    <row r="5">
      <c r="A5" s="15">
        <v>1.0</v>
      </c>
      <c r="B5" s="15" t="s">
        <v>42</v>
      </c>
      <c r="C5" s="15" t="s">
        <v>43</v>
      </c>
      <c r="D5" s="14">
        <v>46287.0</v>
      </c>
      <c r="E5" s="14">
        <v>46288.0</v>
      </c>
      <c r="F5" s="16">
        <v>100.0</v>
      </c>
      <c r="G5" s="15" t="s">
        <v>45</v>
      </c>
      <c r="H5" s="15" t="s">
        <v>48</v>
      </c>
    </row>
    <row r="6">
      <c r="A6" s="15">
        <v>2.0</v>
      </c>
      <c r="B6" s="15" t="s">
        <v>49</v>
      </c>
      <c r="C6" s="15" t="s">
        <v>50</v>
      </c>
      <c r="D6" s="14">
        <v>46288.0</v>
      </c>
      <c r="E6" s="14">
        <v>46289.0</v>
      </c>
      <c r="F6" s="16">
        <v>100.0</v>
      </c>
      <c r="G6" s="15" t="s">
        <v>45</v>
      </c>
      <c r="H6" s="15" t="s">
        <v>48</v>
      </c>
    </row>
    <row r="7">
      <c r="A7" s="15">
        <v>3.0</v>
      </c>
      <c r="B7" s="15" t="s">
        <v>52</v>
      </c>
      <c r="C7" s="15" t="s">
        <v>53</v>
      </c>
      <c r="D7" s="14">
        <v>46288.0</v>
      </c>
      <c r="E7" s="14">
        <v>46289.0</v>
      </c>
      <c r="F7" s="16">
        <v>100.0</v>
      </c>
      <c r="G7" s="15" t="s">
        <v>45</v>
      </c>
      <c r="H7" s="15" t="s">
        <v>55</v>
      </c>
    </row>
    <row r="8">
      <c r="A8" s="15">
        <v>4.0</v>
      </c>
      <c r="B8" s="15" t="s">
        <v>57</v>
      </c>
      <c r="C8" s="15" t="s">
        <v>58</v>
      </c>
      <c r="D8" s="14">
        <v>46289.0</v>
      </c>
      <c r="E8" s="14">
        <v>46290.0</v>
      </c>
      <c r="F8" s="16">
        <v>50.0</v>
      </c>
      <c r="G8" s="15" t="s">
        <v>59</v>
      </c>
      <c r="H8" s="15" t="s">
        <v>6</v>
      </c>
    </row>
    <row r="9">
      <c r="A9" s="15">
        <v>5.0</v>
      </c>
      <c r="B9" s="15" t="s">
        <v>60</v>
      </c>
      <c r="C9" s="15" t="s">
        <v>61</v>
      </c>
      <c r="D9" s="14">
        <v>46289.0</v>
      </c>
      <c r="E9" s="14">
        <v>46291.0</v>
      </c>
      <c r="F9" s="16">
        <v>25.0</v>
      </c>
      <c r="G9" s="15" t="s">
        <v>59</v>
      </c>
      <c r="H9" s="15" t="s">
        <v>62</v>
      </c>
    </row>
    <row r="10">
      <c r="A10" s="15">
        <v>6.0</v>
      </c>
      <c r="B10" s="15" t="s">
        <v>63</v>
      </c>
      <c r="C10" s="15" t="s">
        <v>64</v>
      </c>
      <c r="D10" s="14">
        <v>46290.0</v>
      </c>
      <c r="E10" s="14">
        <v>46291.0</v>
      </c>
      <c r="F10" s="19">
        <v>1.0</v>
      </c>
      <c r="G10" s="15" t="s">
        <v>59</v>
      </c>
      <c r="H10" s="15" t="s">
        <v>65</v>
      </c>
    </row>
    <row r="11">
      <c r="A11" s="15">
        <v>7.0</v>
      </c>
      <c r="B11" s="15" t="s">
        <v>66</v>
      </c>
      <c r="C11" s="15" t="s">
        <v>67</v>
      </c>
      <c r="D11" s="14">
        <v>46290.0</v>
      </c>
      <c r="E11" s="14">
        <v>46292.0</v>
      </c>
      <c r="F11" s="16">
        <v>25.0</v>
      </c>
      <c r="G11" s="15" t="s">
        <v>59</v>
      </c>
      <c r="H11" s="15" t="s">
        <v>68</v>
      </c>
    </row>
    <row r="12">
      <c r="A12" s="15">
        <v>8.0</v>
      </c>
      <c r="B12" s="15" t="s">
        <v>69</v>
      </c>
      <c r="C12" s="15" t="s">
        <v>70</v>
      </c>
      <c r="D12" s="14">
        <v>46292.0</v>
      </c>
      <c r="E12" s="14">
        <v>46293.0</v>
      </c>
      <c r="F12" s="19">
        <v>0.9</v>
      </c>
      <c r="G12" s="15" t="s">
        <v>45</v>
      </c>
      <c r="H12" s="15" t="s">
        <v>71</v>
      </c>
    </row>
    <row r="13">
      <c r="A13" s="15">
        <v>9.0</v>
      </c>
      <c r="B13" s="15" t="s">
        <v>72</v>
      </c>
      <c r="C13" s="15" t="s">
        <v>73</v>
      </c>
      <c r="D13" s="14">
        <v>46294.0</v>
      </c>
      <c r="E13" s="14">
        <v>46297.0</v>
      </c>
      <c r="F13" s="16">
        <v>0.0</v>
      </c>
      <c r="G13" s="15" t="s">
        <v>59</v>
      </c>
      <c r="H13" s="15" t="s">
        <v>74</v>
      </c>
    </row>
    <row r="14">
      <c r="A14" s="15">
        <v>10.0</v>
      </c>
      <c r="B14" s="15" t="s">
        <v>75</v>
      </c>
      <c r="C14" s="15" t="s">
        <v>76</v>
      </c>
      <c r="D14" s="14">
        <v>46296.0</v>
      </c>
      <c r="E14" s="14">
        <v>46299.0</v>
      </c>
      <c r="F14" s="16">
        <v>0.0</v>
      </c>
      <c r="G14" s="15" t="s">
        <v>59</v>
      </c>
      <c r="H14" s="15" t="s">
        <v>77</v>
      </c>
    </row>
    <row r="15">
      <c r="A15" s="15">
        <v>11.0</v>
      </c>
      <c r="B15" s="15" t="s">
        <v>78</v>
      </c>
      <c r="C15" s="15" t="s">
        <v>79</v>
      </c>
      <c r="D15" s="14">
        <v>46300.0</v>
      </c>
      <c r="E15" s="14">
        <v>46303.0</v>
      </c>
      <c r="F15" s="16">
        <v>0.0</v>
      </c>
      <c r="G15" s="15" t="s">
        <v>59</v>
      </c>
      <c r="H15" s="15" t="s">
        <v>80</v>
      </c>
    </row>
    <row r="16">
      <c r="A16" s="15">
        <v>12.0</v>
      </c>
      <c r="B16" s="15" t="s">
        <v>81</v>
      </c>
      <c r="C16" s="15" t="s">
        <v>82</v>
      </c>
      <c r="D16" s="14">
        <v>46300.0</v>
      </c>
      <c r="E16" s="14">
        <v>46303.0</v>
      </c>
      <c r="F16" s="16">
        <v>0.0</v>
      </c>
      <c r="G16" s="15" t="s">
        <v>59</v>
      </c>
      <c r="H16" s="15" t="s">
        <v>83</v>
      </c>
    </row>
    <row r="17">
      <c r="A17" s="15">
        <v>13.0</v>
      </c>
      <c r="B17" s="15" t="s">
        <v>84</v>
      </c>
      <c r="C17" s="15" t="s">
        <v>85</v>
      </c>
      <c r="D17" s="14">
        <v>46304.0</v>
      </c>
      <c r="E17" s="14">
        <v>46310.0</v>
      </c>
      <c r="F17" s="16">
        <v>0.0</v>
      </c>
      <c r="G17" s="15" t="s">
        <v>59</v>
      </c>
      <c r="H17" s="15" t="s">
        <v>86</v>
      </c>
    </row>
    <row r="18">
      <c r="A18" s="15">
        <v>14.0</v>
      </c>
      <c r="B18" s="15" t="s">
        <v>87</v>
      </c>
      <c r="C18" s="15" t="s">
        <v>88</v>
      </c>
      <c r="D18" s="14">
        <v>46307.0</v>
      </c>
      <c r="E18" s="14">
        <v>46313.0</v>
      </c>
      <c r="F18" s="16">
        <v>0.0</v>
      </c>
      <c r="G18" s="15" t="s">
        <v>59</v>
      </c>
      <c r="H18" s="15" t="s">
        <v>10</v>
      </c>
    </row>
    <row r="19">
      <c r="A19" s="15">
        <v>15.0</v>
      </c>
      <c r="B19" s="15" t="s">
        <v>89</v>
      </c>
      <c r="C19" s="15" t="s">
        <v>90</v>
      </c>
      <c r="D19" s="14">
        <v>46311.0</v>
      </c>
      <c r="E19" s="14">
        <v>46315.0</v>
      </c>
      <c r="F19" s="16">
        <v>0.0</v>
      </c>
      <c r="G19" s="15" t="s">
        <v>59</v>
      </c>
      <c r="H19" s="15" t="s">
        <v>10</v>
      </c>
    </row>
    <row r="20">
      <c r="A20" s="15">
        <v>16.0</v>
      </c>
      <c r="B20" s="15" t="s">
        <v>91</v>
      </c>
      <c r="C20" s="15" t="s">
        <v>92</v>
      </c>
      <c r="D20" s="14">
        <v>46314.0</v>
      </c>
      <c r="E20" s="14">
        <v>46317.0</v>
      </c>
      <c r="F20" s="16">
        <v>0.0</v>
      </c>
      <c r="G20" s="15" t="s">
        <v>59</v>
      </c>
      <c r="H20" s="15" t="s">
        <v>10</v>
      </c>
    </row>
    <row r="21" ht="15.75" customHeight="1">
      <c r="A21" s="15">
        <v>17.0</v>
      </c>
      <c r="B21" s="15" t="s">
        <v>93</v>
      </c>
      <c r="C21" s="15" t="s">
        <v>94</v>
      </c>
      <c r="D21" s="14">
        <v>46316.0</v>
      </c>
      <c r="E21" s="14">
        <v>46318.0</v>
      </c>
      <c r="F21" s="16">
        <v>0.0</v>
      </c>
      <c r="G21" s="15" t="s">
        <v>59</v>
      </c>
      <c r="H21" s="15" t="s">
        <v>95</v>
      </c>
    </row>
    <row r="22" ht="15.75" customHeight="1">
      <c r="A22" s="15">
        <v>18.0</v>
      </c>
      <c r="B22" s="15" t="s">
        <v>96</v>
      </c>
      <c r="C22" s="15" t="s">
        <v>97</v>
      </c>
      <c r="D22" s="14">
        <v>46318.0</v>
      </c>
      <c r="E22" s="14">
        <v>46319.0</v>
      </c>
      <c r="F22" s="16">
        <v>0.0</v>
      </c>
      <c r="G22" s="15" t="s">
        <v>45</v>
      </c>
      <c r="H22" s="15" t="s">
        <v>98</v>
      </c>
    </row>
    <row r="23" ht="15.75" customHeight="1">
      <c r="A23" s="15">
        <v>19.0</v>
      </c>
      <c r="B23" s="15" t="s">
        <v>99</v>
      </c>
      <c r="C23" s="15" t="s">
        <v>100</v>
      </c>
      <c r="D23" s="14">
        <v>46318.0</v>
      </c>
      <c r="E23" s="14">
        <v>46320.0</v>
      </c>
      <c r="F23" s="16">
        <v>0.0</v>
      </c>
      <c r="G23" s="15" t="s">
        <v>59</v>
      </c>
      <c r="H23" s="15" t="s">
        <v>6</v>
      </c>
    </row>
    <row r="24" ht="15.75" customHeight="1">
      <c r="A24" s="15">
        <v>20.0</v>
      </c>
      <c r="B24" s="15" t="s">
        <v>101</v>
      </c>
      <c r="C24" s="15" t="s">
        <v>102</v>
      </c>
      <c r="D24" s="14">
        <v>46320.0</v>
      </c>
      <c r="E24" s="14">
        <v>46321.0</v>
      </c>
      <c r="F24" s="16">
        <v>0.0</v>
      </c>
      <c r="G24" s="15" t="s">
        <v>45</v>
      </c>
      <c r="H24" s="15" t="s">
        <v>103</v>
      </c>
    </row>
    <row r="25" ht="15.75" customHeight="1">
      <c r="A25" s="15">
        <v>21.0</v>
      </c>
      <c r="B25" s="15" t="s">
        <v>104</v>
      </c>
      <c r="C25" s="15" t="s">
        <v>105</v>
      </c>
      <c r="D25" s="14">
        <v>46322.0</v>
      </c>
      <c r="E25" s="14">
        <v>46328.0</v>
      </c>
      <c r="F25" s="16">
        <v>0.0</v>
      </c>
      <c r="G25" s="15" t="s">
        <v>59</v>
      </c>
      <c r="H25" s="15" t="s">
        <v>106</v>
      </c>
    </row>
    <row r="26" ht="15.75" customHeight="1">
      <c r="A26" s="15">
        <v>22.0</v>
      </c>
      <c r="B26" s="15" t="s">
        <v>107</v>
      </c>
      <c r="C26" s="15" t="s">
        <v>108</v>
      </c>
      <c r="D26" s="14">
        <v>46329.0</v>
      </c>
      <c r="E26" s="14">
        <v>46334.0</v>
      </c>
      <c r="F26" s="16">
        <v>0.0</v>
      </c>
      <c r="G26" s="15" t="s">
        <v>59</v>
      </c>
      <c r="H26" s="15" t="s">
        <v>6</v>
      </c>
    </row>
    <row r="27" ht="15.75" customHeight="1">
      <c r="A27" s="15">
        <v>23.0</v>
      </c>
      <c r="B27" s="15" t="s">
        <v>109</v>
      </c>
      <c r="C27" s="15" t="s">
        <v>110</v>
      </c>
      <c r="D27" s="14">
        <v>46335.0</v>
      </c>
      <c r="E27" s="14">
        <v>46338.0</v>
      </c>
      <c r="F27" s="16">
        <v>0.0</v>
      </c>
      <c r="G27" s="15" t="s">
        <v>45</v>
      </c>
      <c r="H27" s="15" t="s">
        <v>111</v>
      </c>
    </row>
    <row r="28" ht="15.75" customHeight="1">
      <c r="A28" s="15">
        <v>24.0</v>
      </c>
      <c r="B28" s="15" t="s">
        <v>112</v>
      </c>
      <c r="C28" s="15" t="s">
        <v>113</v>
      </c>
      <c r="D28" s="14">
        <v>46339.0</v>
      </c>
      <c r="E28" s="14">
        <v>46341.0</v>
      </c>
      <c r="F28" s="16">
        <v>0.0</v>
      </c>
      <c r="G28" s="15" t="s">
        <v>45</v>
      </c>
      <c r="H28" s="15" t="s">
        <v>114</v>
      </c>
    </row>
    <row r="29" ht="15.75" customHeight="1">
      <c r="A29" s="15">
        <v>25.0</v>
      </c>
      <c r="B29" s="15" t="s">
        <v>115</v>
      </c>
      <c r="C29" s="15" t="s">
        <v>116</v>
      </c>
      <c r="D29" s="14">
        <v>46342.0</v>
      </c>
      <c r="E29" s="14">
        <v>46344.0</v>
      </c>
      <c r="F29" s="16">
        <v>0.0</v>
      </c>
      <c r="G29" s="15" t="s">
        <v>45</v>
      </c>
      <c r="H29" s="15" t="s">
        <v>117</v>
      </c>
    </row>
    <row r="30" ht="15.75" customHeight="1">
      <c r="A30" s="15">
        <v>26.0</v>
      </c>
      <c r="B30" s="15" t="s">
        <v>118</v>
      </c>
      <c r="C30" s="15" t="s">
        <v>119</v>
      </c>
      <c r="D30" s="14">
        <v>46345.0</v>
      </c>
      <c r="E30" s="14">
        <v>46346.0</v>
      </c>
      <c r="F30" s="16">
        <v>0.0</v>
      </c>
      <c r="G30" s="15" t="s">
        <v>45</v>
      </c>
      <c r="H30" s="15" t="s">
        <v>19</v>
      </c>
    </row>
    <row r="31" ht="15.75" customHeight="1">
      <c r="A31" s="15">
        <v>27.0</v>
      </c>
      <c r="B31" s="15" t="s">
        <v>120</v>
      </c>
      <c r="C31" s="15" t="s">
        <v>121</v>
      </c>
      <c r="D31" s="14">
        <v>46347.0</v>
      </c>
      <c r="E31" s="14">
        <v>46348.0</v>
      </c>
      <c r="F31" s="16">
        <v>0.0</v>
      </c>
      <c r="G31" s="15" t="s">
        <v>45</v>
      </c>
      <c r="H31" s="15" t="s">
        <v>122</v>
      </c>
    </row>
    <row r="32" ht="15.75" customHeight="1">
      <c r="A32" s="15">
        <v>28.0</v>
      </c>
      <c r="B32" s="15" t="s">
        <v>123</v>
      </c>
      <c r="C32" s="15" t="s">
        <v>124</v>
      </c>
      <c r="D32" s="14">
        <v>46349.0</v>
      </c>
      <c r="E32" s="14">
        <v>46356.0</v>
      </c>
      <c r="F32" s="16">
        <v>0.0</v>
      </c>
      <c r="G32" s="15" t="s">
        <v>125</v>
      </c>
      <c r="H32" s="15" t="s">
        <v>126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dataValidations>
    <dataValidation type="list" allowBlank="1" sqref="G5:G32">
      <formula1>"Grupo,Todos,A definir,Integrante 1,Integrante 2,Integrante 3,Integrante 4,Integrante 5"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42.0"/>
    <col customWidth="1" min="3" max="5" width="8.63"/>
    <col customWidth="1" min="6" max="6" width="0.38"/>
    <col customWidth="1" min="7" max="26" width="8.63"/>
  </cols>
  <sheetData>
    <row r="1">
      <c r="A1" s="3" t="s">
        <v>14</v>
      </c>
    </row>
    <row r="3">
      <c r="A3" s="4" t="s">
        <v>15</v>
      </c>
      <c r="B3" s="5" t="s">
        <v>16</v>
      </c>
    </row>
    <row r="4">
      <c r="A4" s="4" t="s">
        <v>17</v>
      </c>
      <c r="B4" s="6">
        <v>46293.0</v>
      </c>
    </row>
    <row r="5">
      <c r="A5" s="4" t="s">
        <v>18</v>
      </c>
      <c r="B5" s="6">
        <v>46321.0</v>
      </c>
    </row>
    <row r="6">
      <c r="A6" s="4" t="s">
        <v>19</v>
      </c>
      <c r="B6" s="7" t="s">
        <v>20</v>
      </c>
    </row>
    <row r="7">
      <c r="A7" s="4" t="s">
        <v>21</v>
      </c>
      <c r="B7" s="5">
        <v>28.0</v>
      </c>
    </row>
    <row r="9">
      <c r="A9" s="1" t="s">
        <v>22</v>
      </c>
      <c r="B9" s="1" t="s">
        <v>23</v>
      </c>
    </row>
    <row r="10">
      <c r="A10" s="5" t="s">
        <v>24</v>
      </c>
      <c r="B10" s="5">
        <f>COUNTIF('Plano de Trabalho'!F5:F32,100)</f>
        <v>3</v>
      </c>
    </row>
    <row r="11">
      <c r="A11" s="5" t="s">
        <v>25</v>
      </c>
      <c r="B11" s="5">
        <f>COUNTIFS('Plano de Trabalho'!F5:F32,"&gt;0",'Plano de Trabalho'!F5:F32,"&lt;100")</f>
        <v>5</v>
      </c>
    </row>
    <row r="12">
      <c r="A12" s="5" t="s">
        <v>28</v>
      </c>
      <c r="B12" s="10">
        <f>AVERAGE('Plano de Trabalho'!F5:F32)</f>
        <v>14.35357143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85.0"/>
    <col customWidth="1" min="3" max="26" width="8.63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28.88"/>
    <col customWidth="1" min="5" max="22" width="8.63"/>
  </cols>
  <sheetData>
    <row r="1">
      <c r="A1" s="3"/>
    </row>
    <row r="2">
      <c r="A2" s="8" t="s">
        <v>27</v>
      </c>
    </row>
    <row r="4">
      <c r="A4" s="11" t="s">
        <v>29</v>
      </c>
      <c r="B4" s="11" t="s">
        <v>31</v>
      </c>
      <c r="C4" s="11" t="s">
        <v>33</v>
      </c>
      <c r="D4" s="11" t="s">
        <v>35</v>
      </c>
    </row>
    <row r="5">
      <c r="A5" s="12" t="s">
        <v>36</v>
      </c>
      <c r="B5" s="12" t="s">
        <v>38</v>
      </c>
      <c r="C5" s="13" t="s">
        <v>39</v>
      </c>
      <c r="D5" s="14">
        <v>46288.0</v>
      </c>
    </row>
    <row r="6">
      <c r="A6" s="12" t="s">
        <v>36</v>
      </c>
      <c r="B6" s="12" t="s">
        <v>44</v>
      </c>
      <c r="C6" s="13" t="s">
        <v>39</v>
      </c>
      <c r="D6" s="14">
        <v>46289.0</v>
      </c>
    </row>
    <row r="7">
      <c r="A7" s="12" t="s">
        <v>36</v>
      </c>
      <c r="B7" s="12" t="s">
        <v>46</v>
      </c>
      <c r="C7" s="13" t="s">
        <v>47</v>
      </c>
      <c r="D7" s="17">
        <v>46286.0</v>
      </c>
    </row>
    <row r="8">
      <c r="A8" s="12" t="s">
        <v>36</v>
      </c>
      <c r="B8" s="12" t="s">
        <v>51</v>
      </c>
      <c r="C8" s="13" t="s">
        <v>39</v>
      </c>
      <c r="D8" s="14">
        <v>46290.0</v>
      </c>
    </row>
    <row r="9">
      <c r="A9" s="12" t="s">
        <v>36</v>
      </c>
      <c r="B9" s="12" t="s">
        <v>54</v>
      </c>
      <c r="C9" s="13" t="s">
        <v>39</v>
      </c>
      <c r="D9" s="14">
        <v>46291.0</v>
      </c>
    </row>
    <row r="10">
      <c r="A10" s="12" t="s">
        <v>36</v>
      </c>
      <c r="B10" s="12" t="s">
        <v>56</v>
      </c>
      <c r="C10" s="13" t="s">
        <v>47</v>
      </c>
      <c r="D10" s="17">
        <v>46286.0</v>
      </c>
    </row>
    <row r="11">
      <c r="A11" s="15"/>
      <c r="B11" s="15"/>
      <c r="C11" s="18"/>
      <c r="D11" s="14">
        <v>46292.0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2">
    <mergeCell ref="A1:D1"/>
    <mergeCell ref="A2:D2"/>
  </mergeCells>
  <dataValidations>
    <dataValidation type="list" allowBlank="1" sqref="C5:C11">
      <formula1>"Concluído,Não Iniciado,Em Andamento,Atrasado"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